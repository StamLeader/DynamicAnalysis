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ggle" sheetId="1" r:id="rId4"/>
    <sheet state="visible" name="VirusMNIST.csv" sheetId="2" r:id="rId5"/>
    <sheet state="visible" name="VirusMNIST_AVR" sheetId="3" r:id="rId6"/>
    <sheet state="visible" name="Comparison" sheetId="4" r:id="rId7"/>
  </sheets>
  <definedNames/>
  <calcPr/>
</workbook>
</file>

<file path=xl/sharedStrings.xml><?xml version="1.0" encoding="utf-8"?>
<sst xmlns="http://schemas.openxmlformats.org/spreadsheetml/2006/main" count="105" uniqueCount="26">
  <si>
    <t>Training CPU</t>
  </si>
  <si>
    <t>Training Memory Overhead</t>
  </si>
  <si>
    <t>Training Latency</t>
  </si>
  <si>
    <t>Prediction CPU</t>
  </si>
  <si>
    <t>Prediction Memory Overhead</t>
  </si>
  <si>
    <t>Prediction Latency</t>
  </si>
  <si>
    <t>True Negative Rate</t>
  </si>
  <si>
    <t>True Positive Rate</t>
  </si>
  <si>
    <t>False Negative Rate</t>
  </si>
  <si>
    <t>False Positive Rate</t>
  </si>
  <si>
    <t>Accuracy</t>
  </si>
  <si>
    <t>XGBoost</t>
  </si>
  <si>
    <t>SVM</t>
  </si>
  <si>
    <t>Model</t>
  </si>
  <si>
    <t>Began f1</t>
  </si>
  <si>
    <t>Malware f1</t>
  </si>
  <si>
    <t>Family</t>
  </si>
  <si>
    <t xml:space="preserve">Family </t>
  </si>
  <si>
    <t>Began F1</t>
  </si>
  <si>
    <t>Malware F1</t>
  </si>
  <si>
    <t>XGBoost with Kaggle</t>
  </si>
  <si>
    <t>SVM with Kaggle</t>
  </si>
  <si>
    <t>XGBoost with MNIST</t>
  </si>
  <si>
    <t>SVM with MNIST</t>
  </si>
  <si>
    <t>Dynamic XGBoost Preformance</t>
  </si>
  <si>
    <t>Dynamic SVM Preformance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</si>
</sst>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B2" s="1">
        <v>195.5</v>
      </c>
      <c r="C2" s="1">
        <v>8.86</v>
      </c>
      <c r="D2" s="1">
        <v>0.13</v>
      </c>
      <c r="E2" s="1">
        <v>165.4</v>
      </c>
      <c r="F2" s="1">
        <v>0.13</v>
      </c>
      <c r="G2" s="1">
        <v>0.01</v>
      </c>
      <c r="H2" s="1">
        <v>0.9442</v>
      </c>
      <c r="I2" s="1">
        <v>0.9594</v>
      </c>
      <c r="J2" s="1">
        <v>0.0406</v>
      </c>
      <c r="K2" s="1">
        <v>0.0558</v>
      </c>
      <c r="L2" s="1">
        <v>0.95</v>
      </c>
    </row>
    <row r="3">
      <c r="A3" s="1" t="s">
        <v>12</v>
      </c>
      <c r="B3" s="1">
        <v>100.0</v>
      </c>
      <c r="C3" s="1">
        <v>0.58</v>
      </c>
      <c r="D3" s="1">
        <v>7.33</v>
      </c>
      <c r="E3" s="1">
        <v>100.1</v>
      </c>
      <c r="F3" s="1">
        <v>0.0</v>
      </c>
      <c r="G3" s="1">
        <v>1.42</v>
      </c>
      <c r="H3" s="1">
        <v>0.4013</v>
      </c>
      <c r="I3" s="1">
        <v>0.9557</v>
      </c>
      <c r="J3" s="1">
        <v>0.0443</v>
      </c>
      <c r="K3" s="1">
        <v>0.5987</v>
      </c>
      <c r="L3" s="1">
        <v>0.74</v>
      </c>
    </row>
    <row r="5">
      <c r="A5" s="1" t="s">
        <v>13</v>
      </c>
      <c r="B5" s="1" t="s">
        <v>14</v>
      </c>
      <c r="C5" s="1" t="s">
        <v>15</v>
      </c>
    </row>
    <row r="6">
      <c r="A6" s="1" t="s">
        <v>11</v>
      </c>
      <c r="B6" s="1">
        <v>0.94</v>
      </c>
      <c r="C6" s="1">
        <v>0.96</v>
      </c>
    </row>
    <row r="7">
      <c r="A7" s="1" t="s">
        <v>12</v>
      </c>
      <c r="B7" s="1">
        <v>0.55</v>
      </c>
      <c r="C7" s="1">
        <v>0.82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</cols>
  <sheetData>
    <row r="1">
      <c r="A1" s="2" t="s">
        <v>13</v>
      </c>
      <c r="B1" s="2" t="s">
        <v>16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>
      <c r="A2" s="2" t="s">
        <v>11</v>
      </c>
      <c r="B2" s="3">
        <v>1.0</v>
      </c>
      <c r="C2" s="3">
        <v>195.8</v>
      </c>
      <c r="D2" s="3">
        <v>6.11</v>
      </c>
      <c r="E2" s="3">
        <v>0.0867</v>
      </c>
      <c r="F2" s="3">
        <v>439.0</v>
      </c>
      <c r="G2" s="3">
        <v>0.12</v>
      </c>
      <c r="H2" s="3">
        <v>0.0022</v>
      </c>
      <c r="I2" s="3">
        <v>0.9829</v>
      </c>
      <c r="J2" s="3">
        <v>1.0</v>
      </c>
      <c r="K2" s="3">
        <v>0.0</v>
      </c>
      <c r="L2" s="3">
        <v>0.0171</v>
      </c>
      <c r="M2" s="3">
        <v>1.0</v>
      </c>
    </row>
    <row r="3">
      <c r="A3" s="2" t="s">
        <v>11</v>
      </c>
      <c r="B3" s="3">
        <v>2.0</v>
      </c>
      <c r="C3" s="3">
        <v>188.7</v>
      </c>
      <c r="D3" s="3">
        <v>0.0</v>
      </c>
      <c r="E3" s="3">
        <v>0.0847</v>
      </c>
      <c r="F3" s="3">
        <v>0.0</v>
      </c>
      <c r="G3" s="3">
        <v>0.0</v>
      </c>
      <c r="H3" s="3">
        <v>0.0018</v>
      </c>
      <c r="I3" s="3">
        <v>0.9143</v>
      </c>
      <c r="J3" s="3">
        <v>0.9805</v>
      </c>
      <c r="K3" s="3">
        <v>0.0195</v>
      </c>
      <c r="L3" s="3">
        <v>0.0857</v>
      </c>
      <c r="M3" s="3">
        <v>0.95</v>
      </c>
    </row>
    <row r="4">
      <c r="A4" s="2" t="s">
        <v>11</v>
      </c>
      <c r="B4" s="3">
        <v>3.0</v>
      </c>
      <c r="C4" s="3">
        <v>206.0</v>
      </c>
      <c r="D4" s="3">
        <v>0.0</v>
      </c>
      <c r="E4" s="3">
        <v>0.0776</v>
      </c>
      <c r="F4" s="3">
        <v>0.0</v>
      </c>
      <c r="G4" s="3">
        <v>0.0</v>
      </c>
      <c r="H4" s="3">
        <v>0.0016</v>
      </c>
      <c r="I4" s="3">
        <v>0.96</v>
      </c>
      <c r="J4" s="3">
        <v>0.9602</v>
      </c>
      <c r="K4" s="3">
        <v>0.0398</v>
      </c>
      <c r="L4" s="3">
        <v>0.04</v>
      </c>
      <c r="M4" s="3">
        <v>0.96</v>
      </c>
    </row>
    <row r="5">
      <c r="A5" s="2" t="s">
        <v>11</v>
      </c>
      <c r="B5" s="3">
        <v>4.0</v>
      </c>
      <c r="C5" s="3">
        <v>194.9</v>
      </c>
      <c r="D5" s="3">
        <v>0.0</v>
      </c>
      <c r="E5" s="3">
        <v>0.0307</v>
      </c>
      <c r="F5" s="3">
        <v>0.0</v>
      </c>
      <c r="G5" s="3">
        <v>0.0</v>
      </c>
      <c r="H5" s="3">
        <v>0.0014</v>
      </c>
      <c r="I5" s="3">
        <v>1.0</v>
      </c>
      <c r="J5" s="3">
        <v>1.0</v>
      </c>
      <c r="K5" s="3">
        <v>0.0</v>
      </c>
      <c r="L5" s="3">
        <v>0.0</v>
      </c>
      <c r="M5" s="3">
        <v>1.0</v>
      </c>
    </row>
    <row r="6">
      <c r="A6" s="2" t="s">
        <v>11</v>
      </c>
      <c r="B6" s="3">
        <v>5.0</v>
      </c>
      <c r="C6" s="3">
        <v>201.8</v>
      </c>
      <c r="D6" s="3">
        <v>0.12</v>
      </c>
      <c r="E6" s="3">
        <v>0.0991</v>
      </c>
      <c r="F6" s="3">
        <v>0.0</v>
      </c>
      <c r="G6" s="3">
        <v>0.0</v>
      </c>
      <c r="H6" s="3">
        <v>0.002</v>
      </c>
      <c r="I6" s="3">
        <v>0.7486</v>
      </c>
      <c r="J6" s="3">
        <v>0.886</v>
      </c>
      <c r="K6" s="3">
        <v>0.114</v>
      </c>
      <c r="L6" s="3">
        <v>0.2514</v>
      </c>
      <c r="M6" s="3">
        <v>0.85</v>
      </c>
    </row>
    <row r="7">
      <c r="A7" s="2" t="s">
        <v>11</v>
      </c>
      <c r="B7" s="3">
        <v>6.0</v>
      </c>
      <c r="C7" s="3">
        <v>186.1</v>
      </c>
      <c r="D7" s="3">
        <v>0.44</v>
      </c>
      <c r="E7" s="3">
        <v>0.145</v>
      </c>
      <c r="F7" s="3">
        <v>323.2</v>
      </c>
      <c r="G7" s="3">
        <v>0.0</v>
      </c>
      <c r="H7" s="3">
        <v>0.0031</v>
      </c>
      <c r="I7" s="3">
        <v>0.7086</v>
      </c>
      <c r="J7" s="3">
        <v>0.986</v>
      </c>
      <c r="K7" s="3">
        <v>0.014</v>
      </c>
      <c r="L7" s="3">
        <v>0.2914</v>
      </c>
      <c r="M7" s="3">
        <v>0.94</v>
      </c>
    </row>
    <row r="8">
      <c r="A8" s="2" t="s">
        <v>11</v>
      </c>
      <c r="B8" s="3">
        <v>7.0</v>
      </c>
      <c r="C8" s="3">
        <v>194.4</v>
      </c>
      <c r="D8" s="3">
        <v>0.0</v>
      </c>
      <c r="E8" s="3">
        <v>0.108</v>
      </c>
      <c r="F8" s="3">
        <v>419.1</v>
      </c>
      <c r="G8" s="3">
        <v>0.0</v>
      </c>
      <c r="H8" s="3">
        <v>0.0023</v>
      </c>
      <c r="I8" s="3">
        <v>0.3486</v>
      </c>
      <c r="J8" s="3">
        <v>0.9491</v>
      </c>
      <c r="K8" s="3">
        <v>0.0509</v>
      </c>
      <c r="L8" s="3">
        <v>0.6514</v>
      </c>
      <c r="M8" s="3">
        <v>0.79</v>
      </c>
    </row>
    <row r="9">
      <c r="A9" s="2" t="s">
        <v>11</v>
      </c>
      <c r="B9" s="3">
        <v>8.0</v>
      </c>
      <c r="C9" s="3">
        <v>192.5</v>
      </c>
      <c r="D9" s="3">
        <v>0.0</v>
      </c>
      <c r="E9" s="3">
        <v>0.0882</v>
      </c>
      <c r="F9" s="3">
        <v>514.2</v>
      </c>
      <c r="G9" s="3">
        <v>0.0</v>
      </c>
      <c r="H9" s="3">
        <v>0.0019</v>
      </c>
      <c r="I9" s="3">
        <v>0.7486</v>
      </c>
      <c r="J9" s="3">
        <v>0.7861</v>
      </c>
      <c r="K9" s="3">
        <v>0.2139</v>
      </c>
      <c r="L9" s="3">
        <v>0.2514</v>
      </c>
      <c r="M9" s="3">
        <v>0.77</v>
      </c>
    </row>
    <row r="10">
      <c r="A10" s="2" t="s">
        <v>11</v>
      </c>
      <c r="B10" s="3">
        <v>9.0</v>
      </c>
      <c r="C10" s="3">
        <v>197.2</v>
      </c>
      <c r="D10" s="3">
        <v>0.0</v>
      </c>
      <c r="E10" s="3">
        <v>0.0861</v>
      </c>
      <c r="F10" s="3">
        <v>0.0</v>
      </c>
      <c r="G10" s="3">
        <v>0.0</v>
      </c>
      <c r="H10" s="3">
        <v>0.0018</v>
      </c>
      <c r="I10" s="3">
        <v>0.8686</v>
      </c>
      <c r="J10" s="3">
        <v>0.9022</v>
      </c>
      <c r="K10" s="3">
        <v>0.0978</v>
      </c>
      <c r="L10" s="3">
        <v>0.1314</v>
      </c>
      <c r="M10" s="3">
        <v>0.89</v>
      </c>
    </row>
    <row r="11">
      <c r="A11" s="2" t="s">
        <v>12</v>
      </c>
      <c r="B11" s="3">
        <v>1.0</v>
      </c>
      <c r="C11" s="3">
        <v>100.2</v>
      </c>
      <c r="D11" s="3">
        <v>0.52</v>
      </c>
      <c r="E11" s="3">
        <v>2.4954</v>
      </c>
      <c r="F11" s="3">
        <v>111.5</v>
      </c>
      <c r="G11" s="3">
        <v>0.02</v>
      </c>
      <c r="H11" s="3">
        <v>0.0358</v>
      </c>
      <c r="I11" s="3">
        <v>0.9086</v>
      </c>
      <c r="J11" s="3">
        <v>0.998</v>
      </c>
      <c r="K11" s="3">
        <v>0.002</v>
      </c>
      <c r="L11" s="3">
        <v>0.0914</v>
      </c>
      <c r="M11" s="3">
        <v>0.97</v>
      </c>
    </row>
    <row r="12">
      <c r="A12" s="2" t="s">
        <v>12</v>
      </c>
      <c r="B12" s="3">
        <v>2.0</v>
      </c>
      <c r="C12" s="3">
        <v>99.6</v>
      </c>
      <c r="D12" s="3">
        <v>0.0</v>
      </c>
      <c r="E12" s="3">
        <v>1.3656</v>
      </c>
      <c r="F12" s="3">
        <v>93.5</v>
      </c>
      <c r="G12" s="3">
        <v>0.0</v>
      </c>
      <c r="H12" s="3">
        <v>0.0213</v>
      </c>
      <c r="I12" s="3">
        <v>0.8971</v>
      </c>
      <c r="J12" s="3">
        <v>0.9415</v>
      </c>
      <c r="K12" s="3">
        <v>0.0585</v>
      </c>
      <c r="L12" s="3">
        <v>0.1029</v>
      </c>
      <c r="M12" s="3">
        <v>0.92</v>
      </c>
    </row>
    <row r="13">
      <c r="A13" s="2" t="s">
        <v>12</v>
      </c>
      <c r="B13" s="3">
        <v>3.0</v>
      </c>
      <c r="C13" s="3">
        <v>101.4</v>
      </c>
      <c r="D13" s="3">
        <v>0.0</v>
      </c>
      <c r="E13" s="3">
        <v>0.8183</v>
      </c>
      <c r="F13" s="3">
        <v>74.2</v>
      </c>
      <c r="G13" s="3">
        <v>0.0</v>
      </c>
      <c r="H13" s="3">
        <v>0.0134</v>
      </c>
      <c r="I13" s="3">
        <v>0.9829</v>
      </c>
      <c r="J13" s="3">
        <v>0.8977</v>
      </c>
      <c r="K13" s="3">
        <v>0.1023</v>
      </c>
      <c r="L13" s="3">
        <v>0.0171</v>
      </c>
      <c r="M13" s="3">
        <v>0.94</v>
      </c>
    </row>
    <row r="14">
      <c r="A14" s="2" t="s">
        <v>12</v>
      </c>
      <c r="B14" s="3">
        <v>4.0</v>
      </c>
      <c r="C14" s="3">
        <v>102.4</v>
      </c>
      <c r="D14" s="3">
        <v>0.0</v>
      </c>
      <c r="E14" s="3">
        <v>0.6543</v>
      </c>
      <c r="F14" s="3">
        <v>81.7</v>
      </c>
      <c r="G14" s="3">
        <v>0.0</v>
      </c>
      <c r="H14" s="3">
        <v>0.0122</v>
      </c>
      <c r="I14" s="3">
        <v>1.0</v>
      </c>
      <c r="J14" s="3">
        <v>0.0</v>
      </c>
      <c r="K14" s="3">
        <v>1.0</v>
      </c>
      <c r="L14" s="3">
        <v>0.0</v>
      </c>
      <c r="M14" s="3">
        <v>0.75</v>
      </c>
    </row>
    <row r="15">
      <c r="A15" s="2" t="s">
        <v>12</v>
      </c>
      <c r="B15" s="3">
        <v>5.0</v>
      </c>
      <c r="C15" s="3">
        <v>99.9</v>
      </c>
      <c r="D15" s="3">
        <v>0.0</v>
      </c>
      <c r="E15" s="3">
        <v>7.424</v>
      </c>
      <c r="F15" s="3">
        <v>106.1</v>
      </c>
      <c r="G15" s="3">
        <v>0.0</v>
      </c>
      <c r="H15" s="3">
        <v>0.113</v>
      </c>
      <c r="I15" s="3">
        <v>0.0</v>
      </c>
      <c r="J15" s="3">
        <v>1.0</v>
      </c>
      <c r="K15" s="3">
        <v>0.0</v>
      </c>
      <c r="L15" s="3">
        <v>1.0</v>
      </c>
      <c r="M15" s="3">
        <v>0.72</v>
      </c>
    </row>
    <row r="16">
      <c r="A16" s="2" t="s">
        <v>12</v>
      </c>
      <c r="B16" s="3">
        <v>6.0</v>
      </c>
      <c r="C16" s="3">
        <v>100.1</v>
      </c>
      <c r="D16" s="3">
        <v>1.53</v>
      </c>
      <c r="E16" s="3">
        <v>9.6088</v>
      </c>
      <c r="F16" s="3">
        <v>97.4</v>
      </c>
      <c r="G16" s="3">
        <v>0.0</v>
      </c>
      <c r="H16" s="3">
        <v>0.1232</v>
      </c>
      <c r="I16" s="3">
        <v>0.5657</v>
      </c>
      <c r="J16" s="3">
        <v>0.995</v>
      </c>
      <c r="K16" s="3">
        <v>0.005</v>
      </c>
      <c r="L16" s="3">
        <v>0.4343</v>
      </c>
      <c r="M16" s="3">
        <v>0.93</v>
      </c>
    </row>
    <row r="17">
      <c r="A17" s="2" t="s">
        <v>12</v>
      </c>
      <c r="B17" s="3">
        <v>7.0</v>
      </c>
      <c r="C17" s="3">
        <v>100.1</v>
      </c>
      <c r="D17" s="3">
        <v>1.53</v>
      </c>
      <c r="E17" s="3">
        <v>9.3987</v>
      </c>
      <c r="F17" s="3">
        <v>97.4</v>
      </c>
      <c r="G17" s="3">
        <v>0.0</v>
      </c>
      <c r="H17" s="3">
        <v>0.1026</v>
      </c>
      <c r="I17" s="3">
        <v>0.0</v>
      </c>
      <c r="J17" s="3">
        <v>1.0</v>
      </c>
      <c r="K17" s="3">
        <v>0.0</v>
      </c>
      <c r="L17" s="3">
        <v>1.0</v>
      </c>
      <c r="M17" s="3">
        <v>0.74</v>
      </c>
    </row>
    <row r="18">
      <c r="A18" s="2" t="s">
        <v>12</v>
      </c>
      <c r="B18" s="3">
        <v>8.0</v>
      </c>
      <c r="C18" s="3">
        <v>99.8</v>
      </c>
      <c r="D18" s="3">
        <v>0.0</v>
      </c>
      <c r="E18" s="3">
        <v>3.1458</v>
      </c>
      <c r="F18" s="3">
        <v>108.6</v>
      </c>
      <c r="G18" s="3">
        <v>0.0</v>
      </c>
      <c r="H18" s="3">
        <v>0.046</v>
      </c>
      <c r="I18" s="3">
        <v>0.3714</v>
      </c>
      <c r="J18" s="3">
        <v>0.896</v>
      </c>
      <c r="K18" s="3">
        <v>0.104</v>
      </c>
      <c r="L18" s="3">
        <v>0.6286</v>
      </c>
      <c r="M18" s="3">
        <v>0.63</v>
      </c>
    </row>
    <row r="19">
      <c r="A19" s="2" t="s">
        <v>12</v>
      </c>
      <c r="B19" s="3">
        <v>9.0</v>
      </c>
      <c r="C19" s="3">
        <v>100.1</v>
      </c>
      <c r="D19" s="3">
        <v>0.0</v>
      </c>
      <c r="E19" s="3">
        <v>2.838</v>
      </c>
      <c r="F19" s="3">
        <v>102.0</v>
      </c>
      <c r="G19" s="3">
        <v>0.0</v>
      </c>
      <c r="H19" s="3">
        <v>0.0391</v>
      </c>
      <c r="I19" s="3">
        <v>0.6571</v>
      </c>
      <c r="J19" s="3">
        <v>0.8756</v>
      </c>
      <c r="K19" s="3">
        <v>0.1244</v>
      </c>
      <c r="L19" s="3">
        <v>0.3429</v>
      </c>
      <c r="M19" s="3">
        <v>0.78</v>
      </c>
    </row>
    <row r="21">
      <c r="B21" s="1"/>
    </row>
    <row r="22">
      <c r="A22" s="2" t="s">
        <v>13</v>
      </c>
      <c r="B22" s="4" t="s">
        <v>17</v>
      </c>
      <c r="C22" s="4" t="s">
        <v>14</v>
      </c>
      <c r="D22" s="4" t="s">
        <v>15</v>
      </c>
    </row>
    <row r="23">
      <c r="A23" s="2" t="s">
        <v>11</v>
      </c>
      <c r="B23" s="3">
        <v>1.0</v>
      </c>
      <c r="C23" s="5">
        <v>0.99</v>
      </c>
      <c r="D23" s="5">
        <v>1.0</v>
      </c>
    </row>
    <row r="24">
      <c r="A24" s="2" t="s">
        <v>11</v>
      </c>
      <c r="B24" s="3">
        <v>2.0</v>
      </c>
      <c r="C24" s="5">
        <v>0.94</v>
      </c>
      <c r="D24" s="5">
        <v>0.95</v>
      </c>
    </row>
    <row r="25">
      <c r="A25" s="2" t="s">
        <v>11</v>
      </c>
      <c r="B25" s="3">
        <v>3.0</v>
      </c>
      <c r="C25" s="5">
        <v>0.96</v>
      </c>
      <c r="D25" s="5">
        <v>0.96</v>
      </c>
    </row>
    <row r="26">
      <c r="A26" s="2" t="s">
        <v>11</v>
      </c>
      <c r="B26" s="3">
        <v>4.0</v>
      </c>
      <c r="C26" s="5">
        <v>1.0</v>
      </c>
      <c r="D26" s="5">
        <v>1.0</v>
      </c>
    </row>
    <row r="27">
      <c r="A27" s="2" t="s">
        <v>11</v>
      </c>
      <c r="B27" s="3">
        <v>5.0</v>
      </c>
      <c r="C27" s="5">
        <v>0.73</v>
      </c>
      <c r="D27" s="5">
        <v>0.89</v>
      </c>
    </row>
    <row r="28">
      <c r="A28" s="2" t="s">
        <v>11</v>
      </c>
      <c r="B28" s="3">
        <v>6.0</v>
      </c>
      <c r="C28" s="5">
        <v>0.79</v>
      </c>
      <c r="D28" s="5">
        <v>0.97</v>
      </c>
    </row>
    <row r="29">
      <c r="A29" s="2" t="s">
        <v>11</v>
      </c>
      <c r="B29" s="3">
        <v>7.0</v>
      </c>
      <c r="C29" s="5">
        <v>0.47</v>
      </c>
      <c r="D29" s="5">
        <v>0.87</v>
      </c>
    </row>
    <row r="30">
      <c r="A30" s="2" t="s">
        <v>11</v>
      </c>
      <c r="B30" s="3">
        <v>8.0</v>
      </c>
      <c r="C30" s="5">
        <v>0.76</v>
      </c>
      <c r="D30" s="5">
        <v>0.77</v>
      </c>
    </row>
    <row r="31">
      <c r="A31" s="2" t="s">
        <v>11</v>
      </c>
      <c r="B31" s="3">
        <v>9.0</v>
      </c>
      <c r="C31" s="5">
        <v>0.87</v>
      </c>
      <c r="D31" s="5">
        <v>0.9</v>
      </c>
    </row>
    <row r="32">
      <c r="A32" s="2" t="s">
        <v>12</v>
      </c>
      <c r="B32" s="3">
        <v>1.0</v>
      </c>
      <c r="C32" s="5">
        <v>0.95</v>
      </c>
      <c r="D32" s="5">
        <v>0.98</v>
      </c>
    </row>
    <row r="33">
      <c r="A33" s="2" t="s">
        <v>12</v>
      </c>
      <c r="B33" s="3">
        <v>2.0</v>
      </c>
      <c r="C33" s="5">
        <v>0.91</v>
      </c>
      <c r="D33" s="5">
        <v>0.93</v>
      </c>
    </row>
    <row r="34">
      <c r="A34" s="2" t="s">
        <v>12</v>
      </c>
      <c r="B34" s="3">
        <v>3.0</v>
      </c>
      <c r="C34" s="5">
        <v>0.94</v>
      </c>
      <c r="D34" s="5">
        <v>0.94</v>
      </c>
    </row>
    <row r="35">
      <c r="A35" s="2" t="s">
        <v>12</v>
      </c>
      <c r="B35" s="3">
        <v>4.0</v>
      </c>
      <c r="C35" s="5">
        <v>0.86</v>
      </c>
      <c r="D35" s="5">
        <v>0.0</v>
      </c>
    </row>
    <row r="36">
      <c r="A36" s="2" t="s">
        <v>12</v>
      </c>
      <c r="B36" s="3">
        <v>5.0</v>
      </c>
      <c r="C36" s="5">
        <v>0.0</v>
      </c>
      <c r="D36" s="5">
        <v>0.84</v>
      </c>
    </row>
    <row r="37">
      <c r="A37" s="2" t="s">
        <v>12</v>
      </c>
      <c r="B37" s="3">
        <v>6.0</v>
      </c>
      <c r="C37" s="5">
        <v>0.71</v>
      </c>
      <c r="D37" s="5">
        <v>0.96</v>
      </c>
    </row>
    <row r="38">
      <c r="A38" s="2" t="s">
        <v>12</v>
      </c>
      <c r="B38" s="3">
        <v>7.0</v>
      </c>
      <c r="C38" s="5">
        <v>0.0</v>
      </c>
      <c r="D38" s="5">
        <v>0.85</v>
      </c>
    </row>
    <row r="39">
      <c r="A39" s="2" t="s">
        <v>12</v>
      </c>
      <c r="B39" s="3">
        <v>8.0</v>
      </c>
      <c r="C39" s="5">
        <v>0.5</v>
      </c>
      <c r="D39" s="5">
        <v>0.71</v>
      </c>
    </row>
    <row r="40">
      <c r="A40" s="2" t="s">
        <v>12</v>
      </c>
      <c r="B40" s="3">
        <v>9.0</v>
      </c>
      <c r="C40" s="5">
        <v>0.72</v>
      </c>
      <c r="D40" s="5">
        <v>0.82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B2" s="6">
        <f>ROUND(AVERAGE(VirusMNIST.csv!C2:C10), 2)
</f>
        <v>195.27</v>
      </c>
      <c r="C2" s="6">
        <f>ROUND(AVERAGE(VirusMNIST.csv!D2:D10), 2)
</f>
        <v>0.74</v>
      </c>
      <c r="D2" s="6">
        <f>ROUND(AVERAGE(VirusMNIST.csv!E2:E10), 2)
</f>
        <v>0.09</v>
      </c>
      <c r="E2" s="6">
        <f>ROUND(AVERAGE(VirusMNIST.csv!F2:F10), 2)
</f>
        <v>188.39</v>
      </c>
      <c r="F2" s="6">
        <f>ROUND(AVERAGE(VirusMNIST.csv!G2:G10), 2)
</f>
        <v>0.01</v>
      </c>
      <c r="G2" s="6">
        <f>ROUND(AVERAGE(VirusMNIST.csv!H2:H10), 3)
</f>
        <v>0.002</v>
      </c>
      <c r="H2" s="6">
        <f>ROUND(AVERAGE(VirusMNIST.csv!I2:I10), 2)
</f>
        <v>0.81</v>
      </c>
      <c r="I2" s="6">
        <f>ROUND(AVERAGE(VirusMNIST.csv!J2:J10), 2)
</f>
        <v>0.94</v>
      </c>
      <c r="J2" s="6">
        <f>ROUND(AVERAGE(VirusMNIST.csv!K2:K10), 2)
</f>
        <v>0.06</v>
      </c>
      <c r="K2" s="6">
        <f>ROUND(AVERAGE(VirusMNIST.csv!L2:L10), 2)
</f>
        <v>0.19</v>
      </c>
      <c r="L2" s="6">
        <f>ROUND(AVERAGE(VirusMNIST.csv!M2:M10), 2)
</f>
        <v>0.91</v>
      </c>
    </row>
    <row r="3">
      <c r="A3" s="1" t="s">
        <v>12</v>
      </c>
      <c r="B3" s="6">
        <f>ROUND(AVERAGE(VirusMNIST.csv!C11:C19), 2)
</f>
        <v>100.4</v>
      </c>
      <c r="C3" s="6">
        <f>ROUND(AVERAGE(VirusMNIST.csv!D11:D19), 2)
</f>
        <v>0.4</v>
      </c>
      <c r="D3" s="6">
        <f>ROUND(AVERAGE(VirusMNIST.csv!E11:E19), 2)
</f>
        <v>4.19</v>
      </c>
      <c r="E3" s="6">
        <f>ROUND(AVERAGE(VirusMNIST.csv!F11:F19), 2)
</f>
        <v>96.93</v>
      </c>
      <c r="F3" s="6">
        <f>ROUND(AVERAGE(VirusMNIST.csv!G11:G19), 3)
</f>
        <v>0.002</v>
      </c>
      <c r="G3" s="6">
        <f>ROUND(AVERAGE(VirusMNIST.csv!H11:H19), 3)
</f>
        <v>0.056</v>
      </c>
      <c r="H3" s="6">
        <f>ROUND(AVERAGE(VirusMNIST.csv!I11:I19), 2)
</f>
        <v>0.6</v>
      </c>
      <c r="I3" s="6">
        <f>ROUND(AVERAGE(VirusMNIST.csv!J11:J19), 2)
</f>
        <v>0.84</v>
      </c>
      <c r="J3" s="6">
        <f>ROUND(AVERAGE(VirusMNIST.csv!K11:K19), 2)
</f>
        <v>0.16</v>
      </c>
      <c r="K3" s="6">
        <f>ROUND(AVERAGE(VirusMNIST.csv!L11:L19), 2)
</f>
        <v>0.4</v>
      </c>
      <c r="L3" s="6">
        <f>ROUND(AVERAGE(VirusMNIST.csv!M11:M19), 2)
</f>
        <v>0.82</v>
      </c>
    </row>
    <row r="5">
      <c r="B5" s="1" t="s">
        <v>18</v>
      </c>
      <c r="C5" s="1" t="s">
        <v>19</v>
      </c>
    </row>
    <row r="6">
      <c r="A6" s="1" t="s">
        <v>11</v>
      </c>
      <c r="B6" s="6">
        <f>ROUND(AVERAGE(VirusMNIST.csv!C23:C31), 2)
</f>
        <v>0.83</v>
      </c>
      <c r="C6" s="6">
        <f>ROUND(AVERAGE(VirusMNIST.csv!D23:D31), 2)
</f>
        <v>0.92</v>
      </c>
    </row>
    <row r="7">
      <c r="A7" s="1" t="s">
        <v>12</v>
      </c>
      <c r="B7" s="6">
        <f>ROUND(AVERAGE(VirusMNIST.csv!C32:C40), 2)
</f>
        <v>0.62</v>
      </c>
      <c r="C7" s="6">
        <f>ROUND(AVERAGE(VirusMNIST.csv!D32:D40), 2)
</f>
        <v>0.78</v>
      </c>
      <c r="D7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6" max="6" width="23.75"/>
    <col customWidth="1" min="7" max="7" width="16.0"/>
    <col customWidth="1" min="8" max="8" width="16.25"/>
    <col customWidth="1" min="9" max="9" width="15.0"/>
    <col customWidth="1" min="10" max="10" width="14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20</v>
      </c>
      <c r="B2" s="1">
        <v>195.5</v>
      </c>
      <c r="C2" s="1">
        <v>8.86</v>
      </c>
      <c r="D2" s="1">
        <v>0.13</v>
      </c>
      <c r="E2" s="1">
        <v>165.4</v>
      </c>
      <c r="F2" s="1">
        <v>0.13</v>
      </c>
      <c r="G2" s="1">
        <v>0.01</v>
      </c>
      <c r="H2" s="1">
        <v>0.94</v>
      </c>
      <c r="I2" s="1">
        <v>0.96</v>
      </c>
      <c r="J2" s="1">
        <v>0.04</v>
      </c>
      <c r="K2" s="1">
        <v>0.06</v>
      </c>
      <c r="L2" s="1">
        <v>0.95</v>
      </c>
    </row>
    <row r="3">
      <c r="A3" s="1" t="s">
        <v>21</v>
      </c>
      <c r="B3" s="1">
        <v>100.0</v>
      </c>
      <c r="C3" s="1">
        <v>0.58</v>
      </c>
      <c r="D3" s="1">
        <v>7.33</v>
      </c>
      <c r="E3" s="1">
        <v>100.1</v>
      </c>
      <c r="F3" s="1">
        <v>0.0</v>
      </c>
      <c r="G3" s="1">
        <v>1.42</v>
      </c>
      <c r="H3" s="1">
        <v>0.4</v>
      </c>
      <c r="I3" s="1">
        <v>0.96</v>
      </c>
      <c r="J3" s="1">
        <v>0.04</v>
      </c>
      <c r="K3" s="1">
        <v>0.6</v>
      </c>
      <c r="L3" s="1">
        <v>0.74</v>
      </c>
    </row>
    <row r="4">
      <c r="A4" s="1" t="s">
        <v>22</v>
      </c>
      <c r="B4" s="6">
        <f>ROUND(AVERAGE(VirusMNIST.csv!C2:C10), 2)
</f>
        <v>195.27</v>
      </c>
      <c r="C4" s="6">
        <f>ROUND(AVERAGE(VirusMNIST.csv!D2:D10), 2)
</f>
        <v>0.74</v>
      </c>
      <c r="D4" s="6">
        <f>ROUND(AVERAGE(VirusMNIST.csv!E2:E10), 2)
</f>
        <v>0.09</v>
      </c>
      <c r="E4" s="6">
        <f>ROUND(AVERAGE(VirusMNIST.csv!F2:F10), 2)
</f>
        <v>188.39</v>
      </c>
      <c r="F4" s="6">
        <f>ROUND(AVERAGE(VirusMNIST.csv!G2:G10), 2)
</f>
        <v>0.01</v>
      </c>
      <c r="G4" s="6">
        <f>ROUND(AVERAGE(VirusMNIST.csv!H2:H10), 3)
</f>
        <v>0.002</v>
      </c>
      <c r="H4" s="6">
        <f>ROUND(AVERAGE(VirusMNIST.csv!I2:I10), 2)
</f>
        <v>0.81</v>
      </c>
      <c r="I4" s="6">
        <f>ROUND(AVERAGE(VirusMNIST.csv!J2:J10), 2)
</f>
        <v>0.94</v>
      </c>
      <c r="J4" s="6">
        <f>ROUND(AVERAGE(VirusMNIST.csv!K2:K10), 2)
</f>
        <v>0.06</v>
      </c>
      <c r="K4" s="6">
        <f>ROUND(AVERAGE(VirusMNIST.csv!L2:L10), 2)
</f>
        <v>0.19</v>
      </c>
      <c r="L4" s="6">
        <f>ROUND(AVERAGE(VirusMNIST.csv!M2:M10), 2)
</f>
        <v>0.91</v>
      </c>
    </row>
    <row r="5">
      <c r="A5" s="1" t="s">
        <v>23</v>
      </c>
      <c r="B5" s="6">
        <f>ROUND(AVERAGE(VirusMNIST.csv!C11:C19), 2)
</f>
        <v>100.4</v>
      </c>
      <c r="C5" s="6">
        <f>ROUND(AVERAGE(VirusMNIST.csv!D11:D19), 2)
</f>
        <v>0.4</v>
      </c>
      <c r="D5" s="6">
        <f>ROUND(AVERAGE(VirusMNIST.csv!E11:E19), 2)
</f>
        <v>4.19</v>
      </c>
      <c r="E5" s="6">
        <f>ROUND(AVERAGE(VirusMNIST.csv!F11:F19), 2)
</f>
        <v>96.93</v>
      </c>
      <c r="F5" s="6">
        <f>ROUND(AVERAGE(VirusMNIST.csv!G11:G19), 3)
</f>
        <v>0.002</v>
      </c>
      <c r="G5" s="6">
        <f>ROUND(AVERAGE(VirusMNIST.csv!H11:H19), 3)
</f>
        <v>0.056</v>
      </c>
      <c r="H5" s="6">
        <f>ROUND(AVERAGE(VirusMNIST.csv!I11:I19), 2)
</f>
        <v>0.6</v>
      </c>
      <c r="I5" s="6">
        <f>ROUND(AVERAGE(VirusMNIST.csv!J11:J19), 2)
</f>
        <v>0.84</v>
      </c>
      <c r="J5" s="6">
        <f>ROUND(AVERAGE(VirusMNIST.csv!K11:K19), 2)
</f>
        <v>0.16</v>
      </c>
      <c r="K5" s="6">
        <f>ROUND(AVERAGE(VirusMNIST.csv!L11:L19), 2)
</f>
        <v>0.4</v>
      </c>
      <c r="L5" s="6">
        <f>AVERAGE(VirusMNIST.csv!M11:M19)</f>
        <v>0.82</v>
      </c>
    </row>
    <row r="7">
      <c r="A7" s="1" t="s">
        <v>24</v>
      </c>
      <c r="B7" s="1">
        <f t="shared" ref="B7:L7" si="1">MINUS(B2,B4)</f>
        <v>0.23</v>
      </c>
      <c r="C7" s="1">
        <f t="shared" si="1"/>
        <v>8.12</v>
      </c>
      <c r="D7" s="1">
        <f t="shared" si="1"/>
        <v>0.04</v>
      </c>
      <c r="E7" s="1">
        <f t="shared" si="1"/>
        <v>-22.99</v>
      </c>
      <c r="F7" s="1">
        <f t="shared" si="1"/>
        <v>0.12</v>
      </c>
      <c r="G7" s="1">
        <f t="shared" si="1"/>
        <v>0.008</v>
      </c>
      <c r="H7" s="1">
        <f t="shared" si="1"/>
        <v>0.13</v>
      </c>
      <c r="I7" s="1">
        <f t="shared" si="1"/>
        <v>0.02</v>
      </c>
      <c r="J7" s="1">
        <f t="shared" si="1"/>
        <v>-0.02</v>
      </c>
      <c r="K7" s="1">
        <f t="shared" si="1"/>
        <v>-0.13</v>
      </c>
      <c r="L7" s="1">
        <f t="shared" si="1"/>
        <v>0.04</v>
      </c>
    </row>
    <row r="8">
      <c r="A8" s="1" t="s">
        <v>25</v>
      </c>
      <c r="B8" s="6">
        <f t="shared" ref="B8:L8" si="2">MINUS(B3,B5)</f>
        <v>-0.4</v>
      </c>
      <c r="C8" s="6">
        <f t="shared" si="2"/>
        <v>0.18</v>
      </c>
      <c r="D8" s="6">
        <f t="shared" si="2"/>
        <v>3.14</v>
      </c>
      <c r="E8" s="6">
        <f t="shared" si="2"/>
        <v>3.17</v>
      </c>
      <c r="F8" s="6">
        <f t="shared" si="2"/>
        <v>-0.002</v>
      </c>
      <c r="G8" s="6">
        <f t="shared" si="2"/>
        <v>1.364</v>
      </c>
      <c r="H8" s="6">
        <f t="shared" si="2"/>
        <v>-0.2</v>
      </c>
      <c r="I8" s="6">
        <f t="shared" si="2"/>
        <v>0.12</v>
      </c>
      <c r="J8" s="6">
        <f t="shared" si="2"/>
        <v>-0.12</v>
      </c>
      <c r="K8" s="6">
        <f t="shared" si="2"/>
        <v>0.2</v>
      </c>
      <c r="L8" s="6">
        <f t="shared" si="2"/>
        <v>-0.08</v>
      </c>
    </row>
  </sheetData>
  <drawing r:id="rId1"/>
</worksheet>
</file>